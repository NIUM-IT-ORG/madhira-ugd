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/Downloads/"/>
    </mc:Choice>
  </mc:AlternateContent>
  <xr:revisionPtr revIDLastSave="0" documentId="8_{68462AA6-44EE-694D-BADE-8BDA9A77B2E9}" xr6:coauthVersionLast="43" xr6:coauthVersionMax="43" xr10:uidLastSave="{00000000-0000-0000-0000-000000000000}"/>
  <bookViews>
    <workbookView xWindow="1080" yWindow="1240" windowWidth="27640" windowHeight="16640" xr2:uid="{447CA988-B5F9-054B-942E-A8A48B907B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31" i="1" l="1"/>
  <c r="I31" i="1"/>
  <c r="H31" i="1"/>
  <c r="G31" i="1"/>
  <c r="F31" i="1"/>
  <c r="E31" i="1"/>
  <c r="M30" i="1"/>
  <c r="M31" i="1" s="1"/>
  <c r="L30" i="1"/>
  <c r="L31" i="1" s="1"/>
  <c r="K30" i="1"/>
  <c r="K31" i="1" s="1"/>
  <c r="K29" i="1"/>
  <c r="J29" i="1"/>
  <c r="I29" i="1"/>
  <c r="H29" i="1"/>
  <c r="G29" i="1"/>
  <c r="F29" i="1"/>
  <c r="E29" i="1"/>
  <c r="M28" i="1"/>
  <c r="M29" i="1" s="1"/>
  <c r="L28" i="1"/>
  <c r="L29" i="1" s="1"/>
  <c r="K28" i="1"/>
  <c r="G27" i="1"/>
  <c r="F27" i="1"/>
  <c r="E27" i="1"/>
  <c r="J24" i="1"/>
  <c r="M24" i="1" s="1"/>
  <c r="M27" i="1" s="1"/>
  <c r="I24" i="1"/>
  <c r="I27" i="1" s="1"/>
  <c r="H24" i="1"/>
  <c r="K24" i="1" s="1"/>
  <c r="K27" i="1" s="1"/>
  <c r="G23" i="1"/>
  <c r="G32" i="1" s="1"/>
  <c r="F23" i="1"/>
  <c r="F32" i="1" s="1"/>
  <c r="E23" i="1"/>
  <c r="E32" i="1" s="1"/>
  <c r="M22" i="1"/>
  <c r="L22" i="1"/>
  <c r="K22" i="1"/>
  <c r="M21" i="1"/>
  <c r="K21" i="1"/>
  <c r="I21" i="1"/>
  <c r="L21" i="1" s="1"/>
  <c r="H21" i="1"/>
  <c r="M20" i="1"/>
  <c r="L20" i="1"/>
  <c r="K20" i="1"/>
  <c r="M19" i="1"/>
  <c r="K19" i="1"/>
  <c r="I19" i="1"/>
  <c r="L19" i="1" s="1"/>
  <c r="H19" i="1"/>
  <c r="M18" i="1"/>
  <c r="I18" i="1"/>
  <c r="L18" i="1" s="1"/>
  <c r="H18" i="1"/>
  <c r="K18" i="1" s="1"/>
  <c r="M17" i="1"/>
  <c r="L17" i="1"/>
  <c r="I17" i="1"/>
  <c r="H17" i="1"/>
  <c r="K17" i="1" s="1"/>
  <c r="M16" i="1"/>
  <c r="I16" i="1"/>
  <c r="L16" i="1" s="1"/>
  <c r="H16" i="1"/>
  <c r="K16" i="1" s="1"/>
  <c r="M15" i="1"/>
  <c r="L15" i="1"/>
  <c r="K15" i="1"/>
  <c r="M14" i="1"/>
  <c r="K14" i="1"/>
  <c r="I14" i="1"/>
  <c r="L14" i="1" s="1"/>
  <c r="M13" i="1"/>
  <c r="L13" i="1"/>
  <c r="H13" i="1"/>
  <c r="K13" i="1" s="1"/>
  <c r="M12" i="1"/>
  <c r="I12" i="1"/>
  <c r="L12" i="1" s="1"/>
  <c r="H12" i="1"/>
  <c r="K12" i="1" s="1"/>
  <c r="M11" i="1"/>
  <c r="I11" i="1"/>
  <c r="L11" i="1" s="1"/>
  <c r="H11" i="1"/>
  <c r="K11" i="1" s="1"/>
  <c r="M10" i="1"/>
  <c r="L10" i="1"/>
  <c r="K10" i="1"/>
  <c r="I10" i="1"/>
  <c r="H10" i="1"/>
  <c r="M9" i="1"/>
  <c r="I9" i="1"/>
  <c r="L9" i="1" s="1"/>
  <c r="H9" i="1"/>
  <c r="K9" i="1" s="1"/>
  <c r="M8" i="1"/>
  <c r="I8" i="1"/>
  <c r="L8" i="1" s="1"/>
  <c r="H8" i="1"/>
  <c r="K8" i="1" s="1"/>
  <c r="L7" i="1"/>
  <c r="K7" i="1"/>
  <c r="J7" i="1"/>
  <c r="M7" i="1" s="1"/>
  <c r="I7" i="1"/>
  <c r="H7" i="1"/>
  <c r="J6" i="1"/>
  <c r="M6" i="1" s="1"/>
  <c r="M23" i="1" s="1"/>
  <c r="I6" i="1"/>
  <c r="L6" i="1" s="1"/>
  <c r="H6" i="1"/>
  <c r="K6" i="1" s="1"/>
  <c r="K23" i="1" l="1"/>
  <c r="K32" i="1" s="1"/>
  <c r="L23" i="1"/>
  <c r="M32" i="1"/>
  <c r="H27" i="1"/>
  <c r="I23" i="1"/>
  <c r="I32" i="1" s="1"/>
  <c r="J27" i="1"/>
  <c r="J23" i="1"/>
  <c r="J32" i="1" s="1"/>
  <c r="L24" i="1"/>
  <c r="L27" i="1" s="1"/>
  <c r="H23" i="1"/>
  <c r="L32" i="1" l="1"/>
  <c r="H32" i="1"/>
</calcChain>
</file>

<file path=xl/sharedStrings.xml><?xml version="1.0" encoding="utf-8"?>
<sst xmlns="http://schemas.openxmlformats.org/spreadsheetml/2006/main" count="41" uniqueCount="35">
  <si>
    <t>S.No</t>
  </si>
  <si>
    <t>Zone</t>
  </si>
  <si>
    <t>Ward</t>
  </si>
  <si>
    <t xml:space="preserve">Area Of Working </t>
  </si>
  <si>
    <t>Sanctioned</t>
  </si>
  <si>
    <t>Executed Till Date</t>
  </si>
  <si>
    <t>To be Executed Till Date</t>
  </si>
  <si>
    <t>Length of Pipelinein Rmt</t>
  </si>
  <si>
    <t>Manholes in Nos</t>
  </si>
  <si>
    <t>IC s in Nos</t>
  </si>
  <si>
    <t>Didugupadu/Jilugumadu</t>
  </si>
  <si>
    <t>Employees Colony, Hanuman Colony, Muslim Colony</t>
  </si>
  <si>
    <t>Banjara Colony, Sai Nagar(Didugupadu/Jilugumadu)</t>
  </si>
  <si>
    <t>Teachers colony, Sundaraiah Nagar</t>
  </si>
  <si>
    <t>Sundaraiah Nagar, Srinagar Colony</t>
  </si>
  <si>
    <t>SC Colony</t>
  </si>
  <si>
    <t>SC Colony, Vaddera Bazar</t>
  </si>
  <si>
    <t>Muslim Bazar, Rayapatnam Road, Shadikhana Road, Yadav Bazar</t>
  </si>
  <si>
    <t>Rayapatnam Road Area, Azad Road,Brahmin Bazar</t>
  </si>
  <si>
    <t>Varthakasangham Area, Main Road, Old current office road</t>
  </si>
  <si>
    <t xml:space="preserve">Sujala Water Plant Area, Dr.Ramanatham Hospital Area, Main Road </t>
  </si>
  <si>
    <t>Sai Baba Temple Area, PullakandamvariVeedi</t>
  </si>
  <si>
    <t>Ladak Bazar</t>
  </si>
  <si>
    <t>Banjara Colony</t>
  </si>
  <si>
    <t>Wyra Road, Banjara Colony, Siddareddy Bazar</t>
  </si>
  <si>
    <t>RV Complex Area, RCM Church Area</t>
  </si>
  <si>
    <t>Station Road, Bapuji Road, Market Yard Area</t>
  </si>
  <si>
    <t>Sub Total for Zone 1</t>
  </si>
  <si>
    <t>Madupalli</t>
  </si>
  <si>
    <t>Sub Total for Zone 2</t>
  </si>
  <si>
    <t>Yellandulapadu</t>
  </si>
  <si>
    <t>Sub Total for Zone 3</t>
  </si>
  <si>
    <t>Ambarupeta</t>
  </si>
  <si>
    <t>Sub Total for Zone 4</t>
  </si>
  <si>
    <t>Total of Zone 1,2,3 &amp;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</si>
</sst>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justify" vertical="center" wrapText="1"/>
    </xf>
    <xf numFmtId="1" fontId="3" fillId="0" borderId="6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justify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justify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justify" vertical="center" wrapText="1"/>
    </xf>
    <xf numFmtId="0" fontId="3" fillId="0" borderId="6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 wrapText="1"/>
    </xf>
  </cellXfs>
  <cellStyles count="2">
    <cellStyle name="Normal" xfId="0" builtinId="0"/>
    <cellStyle name="Normal 4" xfId="1" xr:uid="{CDB9245B-B13A-0441-9A72-BA5336EEDB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93A0E-6617-094F-805B-93035963F701}">
  <dimension ref="A4:M32"/>
  <sheetViews>
    <sheetView tabSelected="1" workbookViewId="0">
      <selection activeCell="B2" sqref="B2"/>
    </sheetView>
  </sheetViews>
  <sheetFormatPr baseColWidth="10" defaultRowHeight="16" x14ac:dyDescent="0.2"/>
  <sheetData>
    <row r="4" spans="1:13" x14ac:dyDescent="0.2">
      <c r="A4" s="1" t="s">
        <v>0</v>
      </c>
      <c r="B4" s="1" t="s">
        <v>1</v>
      </c>
      <c r="C4" s="1" t="s">
        <v>2</v>
      </c>
      <c r="D4" s="1" t="s">
        <v>3</v>
      </c>
      <c r="E4" s="2" t="s">
        <v>4</v>
      </c>
      <c r="F4" s="3"/>
      <c r="G4" s="4"/>
      <c r="H4" s="2" t="s">
        <v>5</v>
      </c>
      <c r="I4" s="3"/>
      <c r="J4" s="4"/>
      <c r="K4" s="2" t="s">
        <v>6</v>
      </c>
      <c r="L4" s="3"/>
      <c r="M4" s="4"/>
    </row>
    <row r="5" spans="1:13" ht="45" x14ac:dyDescent="0.2">
      <c r="A5" s="5"/>
      <c r="B5" s="5"/>
      <c r="C5" s="5"/>
      <c r="D5" s="5"/>
      <c r="E5" s="6" t="s">
        <v>7</v>
      </c>
      <c r="F5" s="6" t="s">
        <v>8</v>
      </c>
      <c r="G5" s="6" t="s">
        <v>9</v>
      </c>
      <c r="H5" s="6" t="s">
        <v>7</v>
      </c>
      <c r="I5" s="6" t="s">
        <v>8</v>
      </c>
      <c r="J5" s="6" t="s">
        <v>9</v>
      </c>
      <c r="K5" s="6" t="s">
        <v>7</v>
      </c>
      <c r="L5" s="6" t="s">
        <v>8</v>
      </c>
      <c r="M5" s="6" t="s">
        <v>9</v>
      </c>
    </row>
    <row r="6" spans="1:13" ht="30" x14ac:dyDescent="0.2">
      <c r="A6" s="7">
        <v>1</v>
      </c>
      <c r="B6" s="7">
        <v>1</v>
      </c>
      <c r="C6" s="7">
        <v>1</v>
      </c>
      <c r="D6" s="8" t="s">
        <v>10</v>
      </c>
      <c r="E6" s="7">
        <v>6125</v>
      </c>
      <c r="F6" s="7">
        <v>265</v>
      </c>
      <c r="G6" s="7">
        <v>165</v>
      </c>
      <c r="H6" s="7">
        <f>5225+80+30</f>
        <v>5335</v>
      </c>
      <c r="I6" s="7">
        <f>83+24+10+5+3+1</f>
        <v>126</v>
      </c>
      <c r="J6" s="7">
        <f>128+26</f>
        <v>154</v>
      </c>
      <c r="K6" s="7">
        <f t="shared" ref="K6:M24" si="0">E6-H6</f>
        <v>790</v>
      </c>
      <c r="L6" s="7">
        <f t="shared" si="0"/>
        <v>139</v>
      </c>
      <c r="M6" s="7">
        <f t="shared" si="0"/>
        <v>11</v>
      </c>
    </row>
    <row r="7" spans="1:13" ht="90" x14ac:dyDescent="0.2">
      <c r="A7" s="7">
        <v>2</v>
      </c>
      <c r="B7" s="7">
        <v>1</v>
      </c>
      <c r="C7" s="7">
        <v>2</v>
      </c>
      <c r="D7" s="8" t="s">
        <v>11</v>
      </c>
      <c r="E7" s="7">
        <v>5873</v>
      </c>
      <c r="F7" s="7">
        <v>251</v>
      </c>
      <c r="G7" s="7">
        <v>165</v>
      </c>
      <c r="H7" s="7">
        <f>5196+18+64+48+24+58+30+60+36+18+42+42</f>
        <v>5636</v>
      </c>
      <c r="I7" s="7">
        <f>34+99+17+17+48+3+1+1+4+2+1+1+3+2+2</f>
        <v>235</v>
      </c>
      <c r="J7" s="7">
        <f>130+12+12+3+7</f>
        <v>164</v>
      </c>
      <c r="K7" s="7">
        <f t="shared" si="0"/>
        <v>237</v>
      </c>
      <c r="L7" s="7">
        <f t="shared" si="0"/>
        <v>16</v>
      </c>
      <c r="M7" s="7">
        <f t="shared" si="0"/>
        <v>1</v>
      </c>
    </row>
    <row r="8" spans="1:13" ht="75" x14ac:dyDescent="0.2">
      <c r="A8" s="7">
        <v>3</v>
      </c>
      <c r="B8" s="7">
        <v>1</v>
      </c>
      <c r="C8" s="7">
        <v>8</v>
      </c>
      <c r="D8" s="8" t="s">
        <v>12</v>
      </c>
      <c r="E8" s="7">
        <v>4220</v>
      </c>
      <c r="F8" s="7">
        <v>210</v>
      </c>
      <c r="G8" s="7">
        <v>108</v>
      </c>
      <c r="H8" s="7">
        <f>3488+70+108+84+48+86+45+12</f>
        <v>3941</v>
      </c>
      <c r="I8" s="7">
        <f>138+47+2+1+2+1+1</f>
        <v>192</v>
      </c>
      <c r="J8" s="7">
        <v>0</v>
      </c>
      <c r="K8" s="7">
        <f t="shared" si="0"/>
        <v>279</v>
      </c>
      <c r="L8" s="7">
        <f t="shared" si="0"/>
        <v>18</v>
      </c>
      <c r="M8" s="7">
        <f t="shared" si="0"/>
        <v>108</v>
      </c>
    </row>
    <row r="9" spans="1:13" ht="60" x14ac:dyDescent="0.2">
      <c r="A9" s="7">
        <v>4</v>
      </c>
      <c r="B9" s="7">
        <v>1</v>
      </c>
      <c r="C9" s="7">
        <v>9</v>
      </c>
      <c r="D9" s="8" t="s">
        <v>13</v>
      </c>
      <c r="E9" s="7">
        <v>5925</v>
      </c>
      <c r="F9" s="7">
        <v>255</v>
      </c>
      <c r="G9" s="7">
        <v>140</v>
      </c>
      <c r="H9" s="7">
        <f>5289+7.5+119.5+61+15+131+36+25+12.5+20+20+20+17.5+10</f>
        <v>5784</v>
      </c>
      <c r="I9" s="7">
        <f>88+19+40+1+2+2+1+4+3+6+1+1+2+1+3</f>
        <v>174</v>
      </c>
      <c r="J9" s="7">
        <v>0</v>
      </c>
      <c r="K9" s="7">
        <f t="shared" si="0"/>
        <v>141</v>
      </c>
      <c r="L9" s="7">
        <f t="shared" si="0"/>
        <v>81</v>
      </c>
      <c r="M9" s="7">
        <f t="shared" si="0"/>
        <v>140</v>
      </c>
    </row>
    <row r="10" spans="1:13" ht="60" x14ac:dyDescent="0.2">
      <c r="A10" s="7">
        <v>5</v>
      </c>
      <c r="B10" s="7">
        <v>1</v>
      </c>
      <c r="C10" s="7">
        <v>10</v>
      </c>
      <c r="D10" s="8" t="s">
        <v>14</v>
      </c>
      <c r="E10" s="7">
        <v>2345</v>
      </c>
      <c r="F10" s="7">
        <v>105</v>
      </c>
      <c r="G10" s="7">
        <v>64</v>
      </c>
      <c r="H10" s="7">
        <f>1082+868+31+42+60+54+72</f>
        <v>2209</v>
      </c>
      <c r="I10" s="9">
        <f>83+2+1+2+2+2</f>
        <v>92</v>
      </c>
      <c r="J10" s="7">
        <v>0</v>
      </c>
      <c r="K10" s="7">
        <f t="shared" si="0"/>
        <v>136</v>
      </c>
      <c r="L10" s="7">
        <f t="shared" si="0"/>
        <v>13</v>
      </c>
      <c r="M10" s="7">
        <f t="shared" si="0"/>
        <v>64</v>
      </c>
    </row>
    <row r="11" spans="1:13" x14ac:dyDescent="0.2">
      <c r="A11" s="7">
        <v>6</v>
      </c>
      <c r="B11" s="7">
        <v>1</v>
      </c>
      <c r="C11" s="7">
        <v>11</v>
      </c>
      <c r="D11" s="8" t="s">
        <v>15</v>
      </c>
      <c r="E11" s="7">
        <v>5095</v>
      </c>
      <c r="F11" s="7">
        <v>226</v>
      </c>
      <c r="G11" s="7">
        <v>111</v>
      </c>
      <c r="H11" s="7">
        <f>838+87+78+108+6+48+34+18+102+6+59+42+70+65</f>
        <v>1561</v>
      </c>
      <c r="I11" s="7">
        <f>35+7+6+5+2+3+1+2+3+2+1+3</f>
        <v>70</v>
      </c>
      <c r="J11" s="7">
        <v>14</v>
      </c>
      <c r="K11" s="7">
        <f t="shared" si="0"/>
        <v>3534</v>
      </c>
      <c r="L11" s="7">
        <f t="shared" si="0"/>
        <v>156</v>
      </c>
      <c r="M11" s="7">
        <f t="shared" si="0"/>
        <v>97</v>
      </c>
    </row>
    <row r="12" spans="1:13" ht="45" x14ac:dyDescent="0.2">
      <c r="A12" s="7">
        <v>7</v>
      </c>
      <c r="B12" s="7">
        <v>1</v>
      </c>
      <c r="C12" s="7">
        <v>12</v>
      </c>
      <c r="D12" s="8" t="s">
        <v>16</v>
      </c>
      <c r="E12" s="7">
        <v>5125</v>
      </c>
      <c r="F12" s="7">
        <v>213</v>
      </c>
      <c r="G12" s="7">
        <v>119</v>
      </c>
      <c r="H12" s="7">
        <f>1215+4+120+84+114+66+50+74</f>
        <v>1727</v>
      </c>
      <c r="I12" s="7">
        <f>40+2</f>
        <v>42</v>
      </c>
      <c r="J12" s="7">
        <v>0</v>
      </c>
      <c r="K12" s="7">
        <f t="shared" si="0"/>
        <v>3398</v>
      </c>
      <c r="L12" s="7">
        <f t="shared" si="0"/>
        <v>171</v>
      </c>
      <c r="M12" s="7">
        <f t="shared" si="0"/>
        <v>119</v>
      </c>
    </row>
    <row r="13" spans="1:13" ht="120" x14ac:dyDescent="0.2">
      <c r="A13" s="7">
        <v>8</v>
      </c>
      <c r="B13" s="7">
        <v>1</v>
      </c>
      <c r="C13" s="7">
        <v>13</v>
      </c>
      <c r="D13" s="8" t="s">
        <v>17</v>
      </c>
      <c r="E13" s="7">
        <v>5135</v>
      </c>
      <c r="F13" s="7">
        <v>224</v>
      </c>
      <c r="G13" s="7">
        <v>119</v>
      </c>
      <c r="H13" s="7">
        <f>403+2290+1180</f>
        <v>3873</v>
      </c>
      <c r="I13" s="7">
        <v>170</v>
      </c>
      <c r="J13" s="7">
        <v>0</v>
      </c>
      <c r="K13" s="7">
        <f t="shared" si="0"/>
        <v>1262</v>
      </c>
      <c r="L13" s="7">
        <f t="shared" si="0"/>
        <v>54</v>
      </c>
      <c r="M13" s="7">
        <f t="shared" si="0"/>
        <v>119</v>
      </c>
    </row>
    <row r="14" spans="1:13" ht="75" x14ac:dyDescent="0.2">
      <c r="A14" s="7">
        <v>9</v>
      </c>
      <c r="B14" s="7">
        <v>1</v>
      </c>
      <c r="C14" s="7">
        <v>14</v>
      </c>
      <c r="D14" s="8" t="s">
        <v>18</v>
      </c>
      <c r="E14" s="7">
        <v>3825</v>
      </c>
      <c r="F14" s="7">
        <v>171</v>
      </c>
      <c r="G14" s="7">
        <v>87</v>
      </c>
      <c r="H14" s="7">
        <v>1140</v>
      </c>
      <c r="I14" s="7">
        <f>32+2</f>
        <v>34</v>
      </c>
      <c r="J14" s="7">
        <v>0</v>
      </c>
      <c r="K14" s="7">
        <f t="shared" si="0"/>
        <v>2685</v>
      </c>
      <c r="L14" s="7">
        <f t="shared" si="0"/>
        <v>137</v>
      </c>
      <c r="M14" s="7">
        <f t="shared" si="0"/>
        <v>87</v>
      </c>
    </row>
    <row r="15" spans="1:13" ht="75" x14ac:dyDescent="0.2">
      <c r="A15" s="7">
        <v>10</v>
      </c>
      <c r="B15" s="7">
        <v>1</v>
      </c>
      <c r="C15" s="7">
        <v>15</v>
      </c>
      <c r="D15" s="8" t="s">
        <v>19</v>
      </c>
      <c r="E15" s="7">
        <v>4210</v>
      </c>
      <c r="F15" s="7">
        <v>173</v>
      </c>
      <c r="G15" s="7">
        <v>101</v>
      </c>
      <c r="H15" s="7">
        <v>685</v>
      </c>
      <c r="I15" s="7">
        <v>0</v>
      </c>
      <c r="J15" s="7">
        <v>0</v>
      </c>
      <c r="K15" s="7">
        <f t="shared" si="0"/>
        <v>3525</v>
      </c>
      <c r="L15" s="7">
        <f t="shared" si="0"/>
        <v>173</v>
      </c>
      <c r="M15" s="7">
        <f t="shared" si="0"/>
        <v>101</v>
      </c>
    </row>
    <row r="16" spans="1:13" ht="105" x14ac:dyDescent="0.2">
      <c r="A16" s="7">
        <v>11</v>
      </c>
      <c r="B16" s="7">
        <v>1</v>
      </c>
      <c r="C16" s="7">
        <v>16</v>
      </c>
      <c r="D16" s="8" t="s">
        <v>20</v>
      </c>
      <c r="E16" s="7">
        <v>4123</v>
      </c>
      <c r="F16" s="7">
        <v>178</v>
      </c>
      <c r="G16" s="7">
        <v>102</v>
      </c>
      <c r="H16" s="7">
        <f>614+2668</f>
        <v>3282</v>
      </c>
      <c r="I16" s="7">
        <f>27+111</f>
        <v>138</v>
      </c>
      <c r="J16" s="7">
        <v>0</v>
      </c>
      <c r="K16" s="7">
        <f t="shared" si="0"/>
        <v>841</v>
      </c>
      <c r="L16" s="7">
        <f t="shared" si="0"/>
        <v>40</v>
      </c>
      <c r="M16" s="7">
        <f t="shared" si="0"/>
        <v>102</v>
      </c>
    </row>
    <row r="17" spans="1:13" ht="75" x14ac:dyDescent="0.2">
      <c r="A17" s="7">
        <v>12</v>
      </c>
      <c r="B17" s="7">
        <v>1</v>
      </c>
      <c r="C17" s="7">
        <v>17</v>
      </c>
      <c r="D17" s="8" t="s">
        <v>21</v>
      </c>
      <c r="E17" s="7">
        <v>5035</v>
      </c>
      <c r="F17" s="7">
        <v>225</v>
      </c>
      <c r="G17" s="7">
        <v>99</v>
      </c>
      <c r="H17" s="7">
        <f>1867+321.5+600+1088</f>
        <v>3876.5</v>
      </c>
      <c r="I17" s="7">
        <f>10+12+63+10</f>
        <v>95</v>
      </c>
      <c r="J17" s="7">
        <v>0</v>
      </c>
      <c r="K17" s="7">
        <f t="shared" si="0"/>
        <v>1158.5</v>
      </c>
      <c r="L17" s="7">
        <f t="shared" si="0"/>
        <v>130</v>
      </c>
      <c r="M17" s="7">
        <f t="shared" si="0"/>
        <v>99</v>
      </c>
    </row>
    <row r="18" spans="1:13" x14ac:dyDescent="0.2">
      <c r="A18" s="7">
        <v>13</v>
      </c>
      <c r="B18" s="7">
        <v>1</v>
      </c>
      <c r="C18" s="7">
        <v>18</v>
      </c>
      <c r="D18" s="8" t="s">
        <v>22</v>
      </c>
      <c r="E18" s="7">
        <v>4135</v>
      </c>
      <c r="F18" s="7">
        <v>178</v>
      </c>
      <c r="G18" s="7">
        <v>107</v>
      </c>
      <c r="H18" s="7">
        <f>1015+54+4+42+24</f>
        <v>1139</v>
      </c>
      <c r="I18" s="7">
        <f>25+3+2+2+4+2</f>
        <v>38</v>
      </c>
      <c r="J18" s="7">
        <v>0</v>
      </c>
      <c r="K18" s="7">
        <f t="shared" si="0"/>
        <v>2996</v>
      </c>
      <c r="L18" s="7">
        <f t="shared" si="0"/>
        <v>140</v>
      </c>
      <c r="M18" s="7">
        <f t="shared" si="0"/>
        <v>107</v>
      </c>
    </row>
    <row r="19" spans="1:13" ht="30" x14ac:dyDescent="0.2">
      <c r="A19" s="7">
        <v>14</v>
      </c>
      <c r="B19" s="7">
        <v>1</v>
      </c>
      <c r="C19" s="7">
        <v>19</v>
      </c>
      <c r="D19" s="8" t="s">
        <v>23</v>
      </c>
      <c r="E19" s="7">
        <v>3950</v>
      </c>
      <c r="F19" s="7">
        <v>181</v>
      </c>
      <c r="G19" s="7">
        <v>96</v>
      </c>
      <c r="H19" s="7">
        <f>1495+42+30+48+36</f>
        <v>1651</v>
      </c>
      <c r="I19" s="7">
        <f>35+29+1+1+2</f>
        <v>68</v>
      </c>
      <c r="J19" s="7">
        <v>12</v>
      </c>
      <c r="K19" s="7">
        <f t="shared" si="0"/>
        <v>2299</v>
      </c>
      <c r="L19" s="7">
        <f t="shared" si="0"/>
        <v>113</v>
      </c>
      <c r="M19" s="7">
        <f t="shared" si="0"/>
        <v>84</v>
      </c>
    </row>
    <row r="20" spans="1:13" ht="75" x14ac:dyDescent="0.2">
      <c r="A20" s="7">
        <v>15</v>
      </c>
      <c r="B20" s="7">
        <v>1</v>
      </c>
      <c r="C20" s="7">
        <v>20</v>
      </c>
      <c r="D20" s="8" t="s">
        <v>24</v>
      </c>
      <c r="E20" s="7">
        <v>3565</v>
      </c>
      <c r="F20" s="7">
        <v>158</v>
      </c>
      <c r="G20" s="7">
        <v>88</v>
      </c>
      <c r="H20" s="7">
        <v>765</v>
      </c>
      <c r="I20" s="7">
        <v>24</v>
      </c>
      <c r="J20" s="7">
        <v>0</v>
      </c>
      <c r="K20" s="7">
        <f t="shared" si="0"/>
        <v>2800</v>
      </c>
      <c r="L20" s="7">
        <f t="shared" si="0"/>
        <v>134</v>
      </c>
      <c r="M20" s="7">
        <f t="shared" si="0"/>
        <v>88</v>
      </c>
    </row>
    <row r="21" spans="1:13" ht="75" x14ac:dyDescent="0.2">
      <c r="A21" s="7">
        <v>16</v>
      </c>
      <c r="B21" s="7">
        <v>1</v>
      </c>
      <c r="C21" s="7">
        <v>21</v>
      </c>
      <c r="D21" s="8" t="s">
        <v>25</v>
      </c>
      <c r="E21" s="7">
        <v>3735</v>
      </c>
      <c r="F21" s="7">
        <v>165</v>
      </c>
      <c r="G21" s="7">
        <v>89</v>
      </c>
      <c r="H21" s="7">
        <f>2278+18+15+64</f>
        <v>2375</v>
      </c>
      <c r="I21" s="7">
        <f>109+2+1+1+1+1+1+1+1+1</f>
        <v>119</v>
      </c>
      <c r="J21" s="7">
        <v>0</v>
      </c>
      <c r="K21" s="7">
        <f t="shared" si="0"/>
        <v>1360</v>
      </c>
      <c r="L21" s="7">
        <f t="shared" si="0"/>
        <v>46</v>
      </c>
      <c r="M21" s="7">
        <f t="shared" si="0"/>
        <v>89</v>
      </c>
    </row>
    <row r="22" spans="1:13" ht="90" x14ac:dyDescent="0.2">
      <c r="A22" s="7">
        <v>17</v>
      </c>
      <c r="B22" s="7">
        <v>1</v>
      </c>
      <c r="C22" s="7">
        <v>22</v>
      </c>
      <c r="D22" s="8" t="s">
        <v>26</v>
      </c>
      <c r="E22" s="7">
        <v>3155</v>
      </c>
      <c r="F22" s="7">
        <v>133</v>
      </c>
      <c r="G22" s="7">
        <v>79</v>
      </c>
      <c r="H22" s="7">
        <v>0</v>
      </c>
      <c r="I22" s="7">
        <v>0</v>
      </c>
      <c r="J22" s="7">
        <v>0</v>
      </c>
      <c r="K22" s="7">
        <f t="shared" si="0"/>
        <v>3155</v>
      </c>
      <c r="L22" s="7">
        <f t="shared" si="0"/>
        <v>133</v>
      </c>
      <c r="M22" s="7">
        <f t="shared" si="0"/>
        <v>79</v>
      </c>
    </row>
    <row r="23" spans="1:13" x14ac:dyDescent="0.2">
      <c r="A23" s="10" t="s">
        <v>27</v>
      </c>
      <c r="B23" s="11"/>
      <c r="C23" s="11"/>
      <c r="D23" s="12"/>
      <c r="E23" s="13">
        <f>SUM(E6:E22)</f>
        <v>75576</v>
      </c>
      <c r="F23" s="13">
        <f>SUM(F6:F22)</f>
        <v>3311</v>
      </c>
      <c r="G23" s="13">
        <f t="shared" ref="G23:M23" si="1">SUM(G6:G22)</f>
        <v>1839</v>
      </c>
      <c r="H23" s="13">
        <f t="shared" si="1"/>
        <v>44979.5</v>
      </c>
      <c r="I23" s="13">
        <f t="shared" si="1"/>
        <v>1617</v>
      </c>
      <c r="J23" s="13">
        <f t="shared" si="1"/>
        <v>344</v>
      </c>
      <c r="K23" s="13">
        <f t="shared" si="1"/>
        <v>30596.5</v>
      </c>
      <c r="L23" s="13">
        <f t="shared" si="1"/>
        <v>1694</v>
      </c>
      <c r="M23" s="13">
        <f t="shared" si="1"/>
        <v>1495</v>
      </c>
    </row>
    <row r="24" spans="1:13" x14ac:dyDescent="0.2">
      <c r="A24" s="7">
        <v>18</v>
      </c>
      <c r="B24" s="14">
        <v>2</v>
      </c>
      <c r="C24" s="7">
        <v>5</v>
      </c>
      <c r="D24" s="15" t="s">
        <v>28</v>
      </c>
      <c r="E24" s="14">
        <v>13241</v>
      </c>
      <c r="F24" s="14">
        <v>620</v>
      </c>
      <c r="G24" s="14">
        <v>433</v>
      </c>
      <c r="H24" s="14">
        <f>7338+120+316+186+144+4+36+60+166+180+108+60+102+84+66+98+112+98+202+114+126+42</f>
        <v>9762</v>
      </c>
      <c r="I24" s="14">
        <f>285+5+7+4+5+7+5+5+1+5+7+7+5+4+1+2+2+1+1</f>
        <v>359</v>
      </c>
      <c r="J24" s="14">
        <f>66+15+12+15+0+17+12+10+0+0</f>
        <v>147</v>
      </c>
      <c r="K24" s="14">
        <f t="shared" si="0"/>
        <v>3479</v>
      </c>
      <c r="L24" s="14">
        <f t="shared" si="0"/>
        <v>261</v>
      </c>
      <c r="M24" s="14">
        <f t="shared" si="0"/>
        <v>286</v>
      </c>
    </row>
    <row r="25" spans="1:13" x14ac:dyDescent="0.2">
      <c r="A25" s="7">
        <v>19</v>
      </c>
      <c r="B25" s="16"/>
      <c r="C25" s="7">
        <v>6</v>
      </c>
      <c r="D25" s="17"/>
      <c r="E25" s="16"/>
      <c r="F25" s="16"/>
      <c r="G25" s="16"/>
      <c r="H25" s="16"/>
      <c r="I25" s="16"/>
      <c r="J25" s="16"/>
      <c r="K25" s="16"/>
      <c r="L25" s="16"/>
      <c r="M25" s="16"/>
    </row>
    <row r="26" spans="1:13" x14ac:dyDescent="0.2">
      <c r="A26" s="7">
        <v>20</v>
      </c>
      <c r="B26" s="18"/>
      <c r="C26" s="7">
        <v>7</v>
      </c>
      <c r="D26" s="19"/>
      <c r="E26" s="18"/>
      <c r="F26" s="18"/>
      <c r="G26" s="18"/>
      <c r="H26" s="18"/>
      <c r="I26" s="18"/>
      <c r="J26" s="18"/>
      <c r="K26" s="18"/>
      <c r="L26" s="18"/>
      <c r="M26" s="18"/>
    </row>
    <row r="27" spans="1:13" x14ac:dyDescent="0.2">
      <c r="A27" s="10" t="s">
        <v>29</v>
      </c>
      <c r="B27" s="11"/>
      <c r="C27" s="11"/>
      <c r="D27" s="12"/>
      <c r="E27" s="13">
        <f>SUM(E24)</f>
        <v>13241</v>
      </c>
      <c r="F27" s="13">
        <f t="shared" ref="F27:M27" si="2">SUM(F24)</f>
        <v>620</v>
      </c>
      <c r="G27" s="13">
        <f t="shared" si="2"/>
        <v>433</v>
      </c>
      <c r="H27" s="13">
        <f t="shared" si="2"/>
        <v>9762</v>
      </c>
      <c r="I27" s="13">
        <f t="shared" si="2"/>
        <v>359</v>
      </c>
      <c r="J27" s="13">
        <f t="shared" si="2"/>
        <v>147</v>
      </c>
      <c r="K27" s="13">
        <f t="shared" si="2"/>
        <v>3479</v>
      </c>
      <c r="L27" s="13">
        <f t="shared" si="2"/>
        <v>261</v>
      </c>
      <c r="M27" s="13">
        <f t="shared" si="2"/>
        <v>286</v>
      </c>
    </row>
    <row r="28" spans="1:13" ht="30" x14ac:dyDescent="0.2">
      <c r="A28" s="7">
        <v>21</v>
      </c>
      <c r="B28" s="7">
        <v>3</v>
      </c>
      <c r="C28" s="7">
        <v>3</v>
      </c>
      <c r="D28" s="8" t="s">
        <v>30</v>
      </c>
      <c r="E28" s="7">
        <v>4396</v>
      </c>
      <c r="F28" s="7">
        <v>199</v>
      </c>
      <c r="G28" s="7">
        <v>170</v>
      </c>
      <c r="H28" s="7">
        <v>0</v>
      </c>
      <c r="I28" s="7">
        <v>0</v>
      </c>
      <c r="J28" s="7">
        <v>0</v>
      </c>
      <c r="K28" s="7">
        <f t="shared" ref="K28:M30" si="3">E28-H28</f>
        <v>4396</v>
      </c>
      <c r="L28" s="7">
        <f t="shared" si="3"/>
        <v>199</v>
      </c>
      <c r="M28" s="7">
        <f t="shared" si="3"/>
        <v>170</v>
      </c>
    </row>
    <row r="29" spans="1:13" x14ac:dyDescent="0.2">
      <c r="A29" s="10" t="s">
        <v>31</v>
      </c>
      <c r="B29" s="11"/>
      <c r="C29" s="11"/>
      <c r="D29" s="12"/>
      <c r="E29" s="13">
        <f>SUM(E28)</f>
        <v>4396</v>
      </c>
      <c r="F29" s="13">
        <f t="shared" ref="F29:M29" si="4">SUM(F28)</f>
        <v>199</v>
      </c>
      <c r="G29" s="6">
        <f t="shared" si="4"/>
        <v>170</v>
      </c>
      <c r="H29" s="13">
        <f t="shared" si="4"/>
        <v>0</v>
      </c>
      <c r="I29" s="13">
        <f t="shared" si="4"/>
        <v>0</v>
      </c>
      <c r="J29" s="13">
        <f t="shared" si="4"/>
        <v>0</v>
      </c>
      <c r="K29" s="13">
        <f t="shared" si="4"/>
        <v>4396</v>
      </c>
      <c r="L29" s="13">
        <f t="shared" si="4"/>
        <v>199</v>
      </c>
      <c r="M29" s="13">
        <f t="shared" si="4"/>
        <v>170</v>
      </c>
    </row>
    <row r="30" spans="1:13" x14ac:dyDescent="0.2">
      <c r="A30" s="7">
        <v>22</v>
      </c>
      <c r="B30" s="7">
        <v>4</v>
      </c>
      <c r="C30" s="7">
        <v>4</v>
      </c>
      <c r="D30" s="8" t="s">
        <v>32</v>
      </c>
      <c r="E30" s="7">
        <v>6347</v>
      </c>
      <c r="F30" s="7">
        <v>257</v>
      </c>
      <c r="G30" s="20">
        <v>213</v>
      </c>
      <c r="H30" s="7">
        <v>0</v>
      </c>
      <c r="I30" s="7">
        <v>0</v>
      </c>
      <c r="J30" s="7">
        <v>0</v>
      </c>
      <c r="K30" s="7">
        <f t="shared" si="3"/>
        <v>6347</v>
      </c>
      <c r="L30" s="7">
        <f t="shared" si="3"/>
        <v>257</v>
      </c>
      <c r="M30" s="7">
        <f t="shared" si="3"/>
        <v>213</v>
      </c>
    </row>
    <row r="31" spans="1:13" x14ac:dyDescent="0.2">
      <c r="A31" s="10" t="s">
        <v>33</v>
      </c>
      <c r="B31" s="11"/>
      <c r="C31" s="11"/>
      <c r="D31" s="12"/>
      <c r="E31" s="13">
        <f>SUM(E30)</f>
        <v>6347</v>
      </c>
      <c r="F31" s="13">
        <f t="shared" ref="F31:M31" si="5">SUM(F30)</f>
        <v>257</v>
      </c>
      <c r="G31" s="13">
        <f t="shared" si="5"/>
        <v>213</v>
      </c>
      <c r="H31" s="13">
        <f t="shared" si="5"/>
        <v>0</v>
      </c>
      <c r="I31" s="13">
        <f t="shared" si="5"/>
        <v>0</v>
      </c>
      <c r="J31" s="13">
        <f t="shared" si="5"/>
        <v>0</v>
      </c>
      <c r="K31" s="13">
        <f t="shared" si="5"/>
        <v>6347</v>
      </c>
      <c r="L31" s="13">
        <f t="shared" si="5"/>
        <v>257</v>
      </c>
      <c r="M31" s="13">
        <f t="shared" si="5"/>
        <v>213</v>
      </c>
    </row>
    <row r="32" spans="1:13" x14ac:dyDescent="0.2">
      <c r="A32" s="10" t="s">
        <v>34</v>
      </c>
      <c r="B32" s="11"/>
      <c r="C32" s="11"/>
      <c r="D32" s="12"/>
      <c r="E32" s="21">
        <f t="shared" ref="E32:M32" si="6">E23+E27+E29+E31</f>
        <v>99560</v>
      </c>
      <c r="F32" s="21">
        <f t="shared" si="6"/>
        <v>4387</v>
      </c>
      <c r="G32" s="21">
        <f t="shared" si="6"/>
        <v>2655</v>
      </c>
      <c r="H32" s="21">
        <f t="shared" si="6"/>
        <v>54741.5</v>
      </c>
      <c r="I32" s="21">
        <f t="shared" si="6"/>
        <v>1976</v>
      </c>
      <c r="J32" s="21">
        <f t="shared" si="6"/>
        <v>491</v>
      </c>
      <c r="K32" s="21">
        <f t="shared" si="6"/>
        <v>44818.5</v>
      </c>
      <c r="L32" s="21">
        <f t="shared" si="6"/>
        <v>2411</v>
      </c>
      <c r="M32" s="21">
        <f t="shared" si="6"/>
        <v>2164</v>
      </c>
    </row>
  </sheetData>
  <mergeCells count="23">
    <mergeCell ref="A31:D31"/>
    <mergeCell ref="A32:D32"/>
    <mergeCell ref="H4:J4"/>
    <mergeCell ref="K4:M4"/>
    <mergeCell ref="A23:D23"/>
    <mergeCell ref="B24:B26"/>
    <mergeCell ref="D24:D26"/>
    <mergeCell ref="E24:E26"/>
    <mergeCell ref="F24:F26"/>
    <mergeCell ref="G24:G26"/>
    <mergeCell ref="H24:H26"/>
    <mergeCell ref="I24:I26"/>
    <mergeCell ref="A29:D29"/>
    <mergeCell ref="A4:A5"/>
    <mergeCell ref="B4:B5"/>
    <mergeCell ref="C4:C5"/>
    <mergeCell ref="D4:D5"/>
    <mergeCell ref="E4:G4"/>
    <mergeCell ref="A27:D27"/>
    <mergeCell ref="J24:J26"/>
    <mergeCell ref="K24:K26"/>
    <mergeCell ref="L24:L26"/>
    <mergeCell ref="M24:M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2026-10-01T16:20:20Z</dcterms:created>
  <dcterms:modified xsi:type="dcterms:W3CDTF">2026-10-01T16:20:49Z</dcterms:modified>
</cp:coreProperties>
</file>